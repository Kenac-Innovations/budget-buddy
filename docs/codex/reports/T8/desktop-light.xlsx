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udget by objective" state="visible" r:id="rId5"/>
    <sheet sheetId="3" name="Monthly cash profile" state="visible" r:id="rId6"/>
    <sheet sheetId="4" name="Evidence register" state="visible" r:id="rId7"/>
    <sheet sheetId="5" name="Open questions" state="visible" r:id="rId8"/>
  </sheets>
  <definedNames>
    <definedName name="_xlnm.Print_Area" localSheetId="0">'Summary'!$A1:$B21</definedName>
    <definedName name="_xlnm.Print_Titles" localSheetId="0">'Summary'!$1:$4</definedName>
    <definedName name="_xlnm.Print_Area" localSheetId="1">'Budget by objective'!$A1:$L14</definedName>
    <definedName name="_xlnm.Print_Titles" localSheetId="1">'Budget by objective'!$1:$4</definedName>
    <definedName name="_xlnm.Print_Area" localSheetId="2">'Monthly cash profile'!$A1:$O10</definedName>
    <definedName name="_xlnm.Print_Titles" localSheetId="2">'Monthly cash profile'!$1:$4</definedName>
    <definedName name="_xlnm.Print_Area" localSheetId="3">'Evidence register'!$A1:$I7</definedName>
    <definedName name="_xlnm.Print_Titles" localSheetId="3">'Evidence register'!$1:$4</definedName>
    <definedName name="_xlnm.Print_Area" localSheetId="4">'Open questions'!$A1:$C8</definedName>
    <definedName name="_xlnm.Print_Titles" localSheetId="4">'Open questions'!$1:$4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8" authorId="0">
      <text>
        <r>
          <t>Source unit price: 3500 USD. Displayed to two decimals; cash is rounded per payment.</t>
        </r>
      </text>
    </comment>
    <comment ref="A11" authorId="0">
      <text>
        <r>
          <t>Carried forward. Renews every August.</t>
        </r>
      </text>
    </comment>
  </commentList>
</comments>
</file>

<file path=xl/sharedStrings.xml><?xml version="1.0" encoding="utf-8"?>
<sst xmlns="http://schemas.openxmlformats.org/spreadsheetml/2006/main" count="141" uniqueCount="93">
  <si>
    <t>Summary</t>
  </si>
  <si>
    <t>2027 ICT plan · Business objectives and planned spend</t>
  </si>
  <si>
    <t>Overview</t>
  </si>
  <si>
    <t>Detail</t>
  </si>
  <si>
    <t>Organisation</t>
  </si>
  <si>
    <t>Synthetic demo organisation</t>
  </si>
  <si>
    <t>Role</t>
  </si>
  <si>
    <t>CIO</t>
  </si>
  <si>
    <t>Planning period</t>
  </si>
  <si>
    <t>2027-01 to 2027-12</t>
  </si>
  <si>
    <t>Reporting currency</t>
  </si>
  <si>
    <t>USD</t>
  </si>
  <si>
    <t>Generated at (UTC)</t>
  </si>
  <si>
    <t>2026-10-14T03:34:43.546Z</t>
  </si>
  <si>
    <t>Planned spend so far</t>
  </si>
  <si>
    <t>Lines unpriced</t>
  </si>
  <si>
    <t>Lines awaiting exchange rates</t>
  </si>
  <si>
    <t>Business objectives</t>
  </si>
  <si>
    <t>Open four branches on time</t>
  </si>
  <si>
    <t>All four branches trading by Q3 2027</t>
  </si>
  <si>
    <t>Cut outages</t>
  </si>
  <si>
    <t>Branch downtime under 4 hours a month</t>
  </si>
  <si>
    <t>How to read this</t>
  </si>
  <si>
    <t>Totals</t>
  </si>
  <si>
    <t>Accepted lines only. Unpriced and unconverted items are excluded from reporting totals; the total is incomplete until they are resolved.</t>
  </si>
  <si>
    <t>Adjusting the budget</t>
  </si>
  <si>
    <t>Edit quantity and unit price on Budget by objective. Monthly cash, objective subtotals and planned spend recalculate. Timing and frequency changes require a fresh export.</t>
  </si>
  <si>
    <t>Assumptions</t>
  </si>
  <si>
    <t>Cash basis; each payment rounded to two decimals. Source prices retain their precision, displayed to two decimals. Bundle prices apply once per payment, irrespective of quantity. Tax is unresolved; no additional tax or exchange rates have been assumed.</t>
  </si>
  <si>
    <t>Privacy</t>
  </si>
  <si>
    <t>This workbook contains your accepted plan and open questions. Keep it private unless you choose to share it.</t>
  </si>
  <si>
    <t>Prepared with</t>
  </si>
  <si>
    <t>Prepared with Budget Buddy, an AI advisor run by Kenac Computer Systems. Prices are sourced as shown; unpriced items are excluded from totals.</t>
  </si>
  <si>
    <t>Budget by objective</t>
  </si>
  <si>
    <t>Accepted lines · Period totals in the line's currency · Reporting currency: USD</t>
  </si>
  <si>
    <t>Item</t>
  </si>
  <si>
    <t>Category</t>
  </si>
  <si>
    <t>Qty</t>
  </si>
  <si>
    <t>Unit</t>
  </si>
  <si>
    <t>Frequency</t>
  </si>
  <si>
    <t>Timing</t>
  </si>
  <si>
    <t>Unit price</t>
  </si>
  <si>
    <t>Currency</t>
  </si>
  <si>
    <t>Evidence</t>
  </si>
  <si>
    <t>Supplier</t>
  </si>
  <si>
    <t>Period total</t>
  </si>
  <si>
    <t>Price basis</t>
  </si>
  <si>
    <t>Solar and UPS at every branch · Fund</t>
  </si>
  <si>
    <t>Solar + UPS kit, per branch</t>
  </si>
  <si>
    <t>Hardware</t>
  </si>
  <si>
    <t>branches</t>
  </si>
  <si>
    <t>One off</t>
  </si>
  <si>
    <t>2027-03</t>
  </si>
  <si>
    <t>Own estimate</t>
  </si>
  <si>
    <t>Not specified</t>
  </si>
  <si>
    <t>Per unit</t>
  </si>
  <si>
    <t>Installation and commissioning</t>
  </si>
  <si>
    <t>Professional services</t>
  </si>
  <si>
    <t>Unpriced</t>
  </si>
  <si>
    <t>Keep the firewall subscription current · Fund</t>
  </si>
  <si>
    <t>Firewall subscription renewal</t>
  </si>
  <si>
    <t>Cybersecurity</t>
  </si>
  <si>
    <t>Annual</t>
  </si>
  <si>
    <t>2027-08</t>
  </si>
  <si>
    <t>Bundle</t>
  </si>
  <si>
    <t>Objective subtotal so far</t>
  </si>
  <si>
    <t>Monthly cash profile</t>
  </si>
  <si>
    <t>Engine cash schedule · Amounts in each line's original currency · Totals kept separate by currency</t>
  </si>
  <si>
    <t>2027-01</t>
  </si>
  <si>
    <t>2027-02</t>
  </si>
  <si>
    <t>2027-04</t>
  </si>
  <si>
    <t>2027-05</t>
  </si>
  <si>
    <t>2027-06</t>
  </si>
  <si>
    <t>2027-07</t>
  </si>
  <si>
    <t>2027-09</t>
  </si>
  <si>
    <t>2027-10</t>
  </si>
  <si>
    <t>2027-11</t>
  </si>
  <si>
    <t>2027-12</t>
  </si>
  <si>
    <t>Total so far</t>
  </si>
  <si>
    <t>Evidence register</t>
  </si>
  <si>
    <t>Prices as captured · Check validity with the supplier before committing funds</t>
  </si>
  <si>
    <t>Reference</t>
  </si>
  <si>
    <t>Captured at</t>
  </si>
  <si>
    <t>Valid until</t>
  </si>
  <si>
    <t>Validity at export</t>
  </si>
  <si>
    <t>2026-10-14T03:34:43.236Z</t>
  </si>
  <si>
    <t>Not supplied</t>
  </si>
  <si>
    <t>Confirm with supplier</t>
  </si>
  <si>
    <t>Open questions</t>
  </si>
  <si>
    <t>Resolve these before approving the budget · Proposed items carry no commitment</t>
  </si>
  <si>
    <t>Type</t>
  </si>
  <si>
    <t>Question or caution</t>
  </si>
  <si>
    <t>Request a quote, attach a sourced price or enter your own labelled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</si>
</sst>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Hanken Grotesk"/>
    </font>
    <font>
      <sz val="11"/>
      <name val="Hanken Grotesk"/>
    </font>
    <font>
      <b/>
      <color rgb="FFFFFFFF"/>
      <sz val="11"/>
      <name val="Hanken Grotesk"/>
    </font>
    <font>
      <b/>
      <color rgb="FFFFFFFF"/>
      <name val="Hanken Grotesk"/>
    </font>
    <font>
      <b/>
      <name val="Hanken Grotesk"/>
    </font>
    <font>
      <b/>
      <sz val="11"/>
      <name val="Hanken Grotesk"/>
    </font>
    <font>
      <i/>
      <sz val="9"/>
      <name val="Hanken Grotesk"/>
    </font>
  </fonts>
  <fills count="3">
    <fill>
      <patternFill patternType="none"/>
    </fill>
    <fill>
      <patternFill patternType="gray125"/>
    </fill>
    <fill>
      <patternFill patternType="solid">
        <fgColor rgb="FF123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 indent="1"/>
    </xf>
    <xf numFmtId="0" fontId="2" fillId="0" borderId="0" xfId="0" applyFont="1" applyAlignment="1">
      <alignment vertical="center" wrapText="1" indent="1"/>
    </xf>
    <xf numFmtId="0" fontId="3" fillId="2" borderId="0" xfId="0" applyFont="1" applyFill="1"/>
    <xf numFmtId="0" fontId="3" fillId="2" borderId="0" xfId="0" applyFont="1" applyFill="1" applyAlignment="1">
      <alignment vertical="center" wrapText="1" indent="1"/>
    </xf>
    <xf numFmtId="4" fontId="2" fillId="0" borderId="0" xfId="0" applyNumberFormat="1" applyFont="1" applyAlignment="1">
      <alignment vertical="center" wrapText="1" indent="1"/>
    </xf>
    <xf numFmtId="1" fontId="2" fillId="0" borderId="0" xfId="0" applyNumberFormat="1" applyFont="1" applyAlignment="1">
      <alignment vertical="center" wrapText="1" inden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vertical="center" wrapText="1" indent="1"/>
    </xf>
    <xf numFmtId="4" fontId="6" fillId="0" borderId="0" xfId="0" applyNumberFormat="1" applyFont="1" applyAlignment="1">
      <alignment vertical="center" wrapText="1" indent="1"/>
    </xf>
    <xf numFmtId="0" fontId="7" fillId="0" borderId="0" xfId="0" applyFont="1"/>
    <xf numFmtId="0" fontId="7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1"/>
  <sheetViews>
    <sheetView workbookViewId="0" showGridLines="0">
      <pane ySplit="4" topLeftCell="A5" activePane="bottomLeft" state="frozen"/>
      <selection pane="bottomLeft"/>
    </sheetView>
  </sheetViews>
  <sheetFormatPr defaultRowHeight="25" outlineLevelRow="2" outlineLevelCol="0" x14ac:dyDescent="55" customHeight="1"/>
  <cols>
    <col min="1" max="1" width="36" customWidth="1"/>
    <col min="2" max="2" width="105" customWidth="1"/>
  </cols>
  <sheetData>
    <row r="1" ht="38" customHeight="1" spans="1:2" s="1" customFormat="1" x14ac:dyDescent="0.25">
      <c r="A1" s="2" t="s">
        <v>0</v>
      </c>
      <c r="B1" s="2"/>
    </row>
    <row r="2" ht="38" customHeight="1" spans="1:2" x14ac:dyDescent="0.25">
      <c r="A2" s="3" t="s">
        <v>1</v>
      </c>
      <c r="B2" s="3"/>
    </row>
    <row r="4" spans="1:2" s="4" customFormat="1" x14ac:dyDescent="0.25">
      <c r="A4" s="5" t="s">
        <v>2</v>
      </c>
      <c r="B4" s="5" t="s">
        <v>3</v>
      </c>
    </row>
    <row r="5" ht="32" customHeight="1" spans="1:2" x14ac:dyDescent="0.25">
      <c r="A5" s="3" t="s">
        <v>4</v>
      </c>
      <c r="B5" s="3" t="s">
        <v>5</v>
      </c>
    </row>
    <row r="6" ht="32" customHeight="1" spans="1:2" x14ac:dyDescent="0.25">
      <c r="A6" s="3" t="s">
        <v>6</v>
      </c>
      <c r="B6" s="3" t="s">
        <v>7</v>
      </c>
    </row>
    <row r="7" ht="32" customHeight="1" spans="1:2" x14ac:dyDescent="0.25">
      <c r="A7" s="3" t="s">
        <v>8</v>
      </c>
      <c r="B7" s="3" t="s">
        <v>9</v>
      </c>
    </row>
    <row r="8" ht="32" customHeight="1" spans="1:2" x14ac:dyDescent="0.25">
      <c r="A8" s="3" t="s">
        <v>10</v>
      </c>
      <c r="B8" s="3" t="s">
        <v>11</v>
      </c>
    </row>
    <row r="9" ht="32" customHeight="1" spans="1:2" x14ac:dyDescent="0.25">
      <c r="A9" s="3" t="s">
        <v>12</v>
      </c>
      <c r="B9" s="3" t="s">
        <v>13</v>
      </c>
    </row>
    <row r="10" ht="32" customHeight="1" spans="1:2" x14ac:dyDescent="0.25">
      <c r="A10" s="3" t="s">
        <v>14</v>
      </c>
      <c r="B10" s="6">
        <f>SUM('Budget by objective'!K8,'Budget by objective'!K9,'Budget by objective'!K11)</f>
        <v>14000</v>
      </c>
    </row>
    <row r="11" ht="32" customHeight="1" spans="1:2" x14ac:dyDescent="0.25">
      <c r="A11" s="3" t="s">
        <v>15</v>
      </c>
      <c r="B11" s="7">
        <f>COUNTIF('Monthly cash profile'!O5,"Unpriced")+COUNTIF('Monthly cash profile'!O6,"Unpriced")+COUNTIF('Monthly cash profile'!O7,"Unpriced")</f>
        <v>2</v>
      </c>
    </row>
    <row r="12" ht="32" customHeight="1" spans="1:2" x14ac:dyDescent="0.25">
      <c r="A12" s="3" t="s">
        <v>16</v>
      </c>
      <c r="B12" s="7">
        <v>0</v>
      </c>
    </row>
    <row r="13" ht="30" customHeight="1" spans="1:2" s="8" customFormat="1" x14ac:dyDescent="0.25">
      <c r="A13" s="5" t="s">
        <v>17</v>
      </c>
      <c r="B13" s="5"/>
    </row>
    <row r="14" ht="32" customHeight="1" spans="1:2" x14ac:dyDescent="0.25">
      <c r="A14" s="3" t="s">
        <v>18</v>
      </c>
      <c r="B14" s="3" t="s">
        <v>19</v>
      </c>
    </row>
    <row r="15" ht="62" customHeight="1" spans="1:2" x14ac:dyDescent="0.25">
      <c r="A15" s="3" t="s">
        <v>20</v>
      </c>
      <c r="B15" s="3" t="s">
        <v>21</v>
      </c>
    </row>
    <row r="16" ht="30" customHeight="1" spans="1:2" s="8" customFormat="1" x14ac:dyDescent="0.25">
      <c r="A16" s="5" t="s">
        <v>22</v>
      </c>
      <c r="B16" s="5"/>
    </row>
    <row r="17" ht="62" customHeight="1" spans="1:2" x14ac:dyDescent="0.25">
      <c r="A17" s="3" t="s">
        <v>23</v>
      </c>
      <c r="B17" s="3" t="s">
        <v>24</v>
      </c>
    </row>
    <row r="18" ht="62" customHeight="1" spans="1:2" x14ac:dyDescent="0.25">
      <c r="A18" s="3" t="s">
        <v>25</v>
      </c>
      <c r="B18" s="3" t="s">
        <v>26</v>
      </c>
    </row>
    <row r="19" ht="62" customHeight="1" spans="1:2" x14ac:dyDescent="0.25">
      <c r="A19" s="3" t="s">
        <v>27</v>
      </c>
      <c r="B19" s="3" t="s">
        <v>28</v>
      </c>
    </row>
    <row r="20" ht="62" customHeight="1" spans="1:2" x14ac:dyDescent="0.25">
      <c r="A20" s="3" t="s">
        <v>29</v>
      </c>
      <c r="B20" s="3" t="s">
        <v>30</v>
      </c>
    </row>
    <row r="21" ht="62" customHeight="1" spans="1:2" x14ac:dyDescent="0.25">
      <c r="A21" s="3" t="s">
        <v>31</v>
      </c>
      <c r="B21" s="3" t="s">
        <v>32</v>
      </c>
    </row>
  </sheetData>
  <mergeCells count="4">
    <mergeCell ref="A1:B1"/>
    <mergeCell ref="A2:B2"/>
    <mergeCell ref="A13:B13"/>
    <mergeCell ref="A16:B1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&amp;L&amp;6Prepared with Budget Buddy, an AI advisor run by Kenac Computer Systems. Prices are sourced as shown; unpriced items are excluded from totals.&amp;R&amp;8Page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5" outlineLevelRow="2" outlineLevelCol="0" x14ac:dyDescent="55" customHeight="1"/>
  <cols>
    <col min="1" max="1" width="44" customWidth="1"/>
    <col min="2" max="2" width="24" customWidth="1"/>
    <col min="3" max="3" width="12" customWidth="1"/>
    <col min="4" max="4" width="16" customWidth="1"/>
    <col min="5" max="5" width="18" customWidth="1"/>
    <col min="6" max="6" width="16" customWidth="1"/>
    <col min="7" max="7" width="18" customWidth="1"/>
    <col min="8" max="8" width="12" customWidth="1"/>
    <col min="9" max="9" width="23" customWidth="1"/>
    <col min="10" max="10" width="24" customWidth="1"/>
    <col min="11" max="11" width="20" customWidth="1"/>
    <col min="12" max="12" width="16" customWidth="1"/>
  </cols>
  <sheetData>
    <row r="1" ht="38" customHeight="1" spans="1:12" s="1" customFormat="1" x14ac:dyDescent="0.25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8" customHeight="1" spans="1:12" x14ac:dyDescent="0.25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s="4" customFormat="1" x14ac:dyDescent="0.25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</row>
    <row r="5" ht="30" customHeight="1" spans="1:12" s="8" customFormat="1" x14ac:dyDescent="0.25">
      <c r="A5" s="5" t="s">
        <v>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30" customHeight="1" spans="1:12" s="8" customFormat="1" x14ac:dyDescent="0.25">
      <c r="A6" s="5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30" customHeight="1" spans="1:12" s="8" customFormat="1" x14ac:dyDescent="0.25" outlineLevel="1">
      <c r="A7" s="5" t="s">
        <v>47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46" customHeight="1" spans="1:12" x14ac:dyDescent="0.25" outlineLevel="2" collapsed="1">
      <c r="A8" s="3" t="s">
        <v>48</v>
      </c>
      <c r="B8" s="3" t="s">
        <v>49</v>
      </c>
      <c r="C8" s="6">
        <v>4</v>
      </c>
      <c r="D8" s="3" t="s">
        <v>50</v>
      </c>
      <c r="E8" s="3" t="s">
        <v>51</v>
      </c>
      <c r="F8" s="3" t="s">
        <v>52</v>
      </c>
      <c r="G8" s="6">
        <v>3500</v>
      </c>
      <c r="H8" s="3" t="s">
        <v>11</v>
      </c>
      <c r="I8" s="3" t="s">
        <v>53</v>
      </c>
      <c r="J8" s="3" t="s">
        <v>54</v>
      </c>
      <c r="K8" s="6">
        <f>'Monthly cash profile'!O5</f>
        <v>14000</v>
      </c>
      <c r="L8" s="3" t="s">
        <v>55</v>
      </c>
    </row>
    <row r="9" ht="46" customHeight="1" spans="1:12" x14ac:dyDescent="0.25" outlineLevel="2" collapsed="1">
      <c r="A9" s="3" t="s">
        <v>56</v>
      </c>
      <c r="B9" s="3" t="s">
        <v>57</v>
      </c>
      <c r="C9" s="6">
        <v>4</v>
      </c>
      <c r="D9" s="3" t="s">
        <v>50</v>
      </c>
      <c r="E9" s="3" t="s">
        <v>51</v>
      </c>
      <c r="F9" s="3" t="s">
        <v>52</v>
      </c>
      <c r="G9" s="3" t="s">
        <v>58</v>
      </c>
      <c r="H9" s="3" t="s">
        <v>11</v>
      </c>
      <c r="I9" s="3" t="s">
        <v>58</v>
      </c>
      <c r="J9" s="3" t="s">
        <v>54</v>
      </c>
      <c r="K9" s="6" t="str">
        <f>'Monthly cash profile'!O6</f>
        <v>Unpriced</v>
      </c>
      <c r="L9" s="3" t="s">
        <v>55</v>
      </c>
    </row>
    <row r="10" ht="30" customHeight="1" spans="1:12" s="8" customFormat="1" x14ac:dyDescent="0.25" outlineLevel="1">
      <c r="A10" s="5" t="s">
        <v>59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46" customHeight="1" spans="1:12" x14ac:dyDescent="0.25" outlineLevel="2" collapsed="1">
      <c r="A11" s="3" t="s">
        <v>60</v>
      </c>
      <c r="B11" s="3" t="s">
        <v>61</v>
      </c>
      <c r="C11" s="6">
        <v>1</v>
      </c>
      <c r="D11" s="3" t="s">
        <v>54</v>
      </c>
      <c r="E11" s="3" t="s">
        <v>62</v>
      </c>
      <c r="F11" s="3" t="s">
        <v>63</v>
      </c>
      <c r="G11" s="3" t="s">
        <v>58</v>
      </c>
      <c r="H11" s="3" t="s">
        <v>11</v>
      </c>
      <c r="I11" s="3" t="s">
        <v>58</v>
      </c>
      <c r="J11" s="3" t="s">
        <v>54</v>
      </c>
      <c r="K11" s="6" t="str">
        <f>'Monthly cash profile'!O7</f>
        <v>Unpriced</v>
      </c>
      <c r="L11" s="3" t="s">
        <v>64</v>
      </c>
    </row>
    <row r="12" ht="46" customHeight="1" spans="1:11" s="9" customFormat="1" x14ac:dyDescent="0.25">
      <c r="A12" s="10" t="s">
        <v>65</v>
      </c>
      <c r="B12" s="10"/>
      <c r="C12" s="10"/>
      <c r="D12" s="10"/>
      <c r="E12" s="10"/>
      <c r="F12" s="10"/>
      <c r="G12" s="10"/>
      <c r="H12" s="10" t="s">
        <v>11</v>
      </c>
      <c r="I12" s="10"/>
      <c r="J12" s="10"/>
      <c r="K12" s="11">
        <f>SUM(K8,K9,K11)</f>
        <v>14000</v>
      </c>
    </row>
    <row r="14" ht="40" customHeight="1" spans="1:12" s="12" customFormat="1" x14ac:dyDescent="0.25">
      <c r="A14" s="13" t="s">
        <v>32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</sheetData>
  <mergeCells count="7">
    <mergeCell ref="A1:L1"/>
    <mergeCell ref="A2:L2"/>
    <mergeCell ref="A5:L5"/>
    <mergeCell ref="A6:L6"/>
    <mergeCell ref="A7:L7"/>
    <mergeCell ref="A10:L10"/>
    <mergeCell ref="A14:L14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&amp;L&amp;6Prepared with Budget Buddy, an AI advisor run by Kenac Computer Systems. Prices are sourced as shown; unpriced items are excluded from totals.&amp;R&amp;8Page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"/>
  <sheetViews>
    <sheetView workbookViewId="0" showGridLines="0">
      <pane ySplit="4" topLeftCell="A5" activePane="bottomLeft" state="frozen"/>
      <selection pane="bottomLeft"/>
    </sheetView>
  </sheetViews>
  <sheetFormatPr defaultRowHeight="25" outlineLevelRow="2" outlineLevelCol="0" x14ac:dyDescent="55" customHeight="1"/>
  <cols>
    <col min="1" max="1" width="44" customWidth="1"/>
    <col min="2" max="2" width="12" customWidth="1"/>
    <col min="3" max="14" width="16" customWidth="1"/>
    <col min="15" max="15" width="20" customWidth="1"/>
  </cols>
  <sheetData>
    <row r="1" ht="38" customHeight="1" spans="1:15" s="1" customFormat="1" x14ac:dyDescent="0.25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8" customHeight="1" spans="1:15" x14ac:dyDescent="0.25">
      <c r="A2" s="3" t="s">
        <v>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 s="4" customFormat="1" x14ac:dyDescent="0.25">
      <c r="A4" s="5" t="s">
        <v>35</v>
      </c>
      <c r="B4" s="5" t="s">
        <v>42</v>
      </c>
      <c r="C4" s="5" t="s">
        <v>68</v>
      </c>
      <c r="D4" s="5" t="s">
        <v>69</v>
      </c>
      <c r="E4" s="5" t="s">
        <v>52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63</v>
      </c>
      <c r="K4" s="5" t="s">
        <v>74</v>
      </c>
      <c r="L4" s="5" t="s">
        <v>75</v>
      </c>
      <c r="M4" s="5" t="s">
        <v>76</v>
      </c>
      <c r="N4" s="5" t="s">
        <v>77</v>
      </c>
      <c r="O4" s="5" t="s">
        <v>45</v>
      </c>
    </row>
    <row r="5" ht="46" customHeight="1" spans="1:15" x14ac:dyDescent="0.25">
      <c r="A5" s="3" t="s">
        <v>48</v>
      </c>
      <c r="B5" s="3" t="s">
        <v>11</v>
      </c>
      <c r="C5" s="6">
        <f>IF(AND(ISNUMBER('Budget by objective'!G8),ISNUMBER('Budget by objective'!C8)),0,"Unpriced")</f>
        <v>0</v>
      </c>
      <c r="D5" s="6">
        <f>IF(AND(ISNUMBER('Budget by objective'!G8),ISNUMBER('Budget by objective'!C8)),0,"Unpriced")</f>
        <v>0</v>
      </c>
      <c r="E5" s="6">
        <f>IF(AND(ISNUMBER('Budget by objective'!G8),ISNUMBER('Budget by objective'!C8)),ROUND('Budget by objective'!G8*'Budget by objective'!C8,2),"Unpriced")</f>
        <v>14000</v>
      </c>
      <c r="F5" s="6">
        <f>IF(AND(ISNUMBER('Budget by objective'!G8),ISNUMBER('Budget by objective'!C8)),0,"Unpriced")</f>
        <v>0</v>
      </c>
      <c r="G5" s="6">
        <f>IF(AND(ISNUMBER('Budget by objective'!G8),ISNUMBER('Budget by objective'!C8)),0,"Unpriced")</f>
        <v>0</v>
      </c>
      <c r="H5" s="6">
        <f>IF(AND(ISNUMBER('Budget by objective'!G8),ISNUMBER('Budget by objective'!C8)),0,"Unpriced")</f>
        <v>0</v>
      </c>
      <c r="I5" s="6">
        <f>IF(AND(ISNUMBER('Budget by objective'!G8),ISNUMBER('Budget by objective'!C8)),0,"Unpriced")</f>
        <v>0</v>
      </c>
      <c r="J5" s="6">
        <f>IF(AND(ISNUMBER('Budget by objective'!G8),ISNUMBER('Budget by objective'!C8)),0,"Unpriced")</f>
        <v>0</v>
      </c>
      <c r="K5" s="6">
        <f>IF(AND(ISNUMBER('Budget by objective'!G8),ISNUMBER('Budget by objective'!C8)),0,"Unpriced")</f>
        <v>0</v>
      </c>
      <c r="L5" s="6">
        <f>IF(AND(ISNUMBER('Budget by objective'!G8),ISNUMBER('Budget by objective'!C8)),0,"Unpriced")</f>
        <v>0</v>
      </c>
      <c r="M5" s="6">
        <f>IF(AND(ISNUMBER('Budget by objective'!G8),ISNUMBER('Budget by objective'!C8)),0,"Unpriced")</f>
        <v>0</v>
      </c>
      <c r="N5" s="6">
        <f>IF(AND(ISNUMBER('Budget by objective'!G8),ISNUMBER('Budget by objective'!C8)),0,"Unpriced")</f>
        <v>0</v>
      </c>
      <c r="O5" s="6">
        <f>IF(COUNT(C5:N5)=COLUMNS(C5:N5),SUM(C5:N5),"Unpriced")</f>
        <v>14000</v>
      </c>
    </row>
    <row r="6" ht="46" customHeight="1" spans="1:15" x14ac:dyDescent="0.25">
      <c r="A6" s="3" t="s">
        <v>56</v>
      </c>
      <c r="B6" s="3" t="s">
        <v>11</v>
      </c>
      <c r="C6" s="6" t="str">
        <f>IF(AND(ISNUMBER('Budget by objective'!G9),ISNUMBER('Budget by objective'!C9)),0,"Unpriced")</f>
        <v>Unpriced</v>
      </c>
      <c r="D6" s="6" t="str">
        <f>IF(AND(ISNUMBER('Budget by objective'!G9),ISNUMBER('Budget by objective'!C9)),0,"Unpriced")</f>
        <v>Unpriced</v>
      </c>
      <c r="E6" s="6" t="str">
        <f>IF(AND(ISNUMBER('Budget by objective'!G9),ISNUMBER('Budget by objective'!C9)),ROUND('Budget by objective'!G9*'Budget by objective'!C9,2),"Unpriced")</f>
        <v>Unpriced</v>
      </c>
      <c r="F6" s="6" t="str">
        <f>IF(AND(ISNUMBER('Budget by objective'!G9),ISNUMBER('Budget by objective'!C9)),0,"Unpriced")</f>
        <v>Unpriced</v>
      </c>
      <c r="G6" s="6" t="str">
        <f>IF(AND(ISNUMBER('Budget by objective'!G9),ISNUMBER('Budget by objective'!C9)),0,"Unpriced")</f>
        <v>Unpriced</v>
      </c>
      <c r="H6" s="6" t="str">
        <f>IF(AND(ISNUMBER('Budget by objective'!G9),ISNUMBER('Budget by objective'!C9)),0,"Unpriced")</f>
        <v>Unpriced</v>
      </c>
      <c r="I6" s="6" t="str">
        <f>IF(AND(ISNUMBER('Budget by objective'!G9),ISNUMBER('Budget by objective'!C9)),0,"Unpriced")</f>
        <v>Unpriced</v>
      </c>
      <c r="J6" s="6" t="str">
        <f>IF(AND(ISNUMBER('Budget by objective'!G9),ISNUMBER('Budget by objective'!C9)),0,"Unpriced")</f>
        <v>Unpriced</v>
      </c>
      <c r="K6" s="6" t="str">
        <f>IF(AND(ISNUMBER('Budget by objective'!G9),ISNUMBER('Budget by objective'!C9)),0,"Unpriced")</f>
        <v>Unpriced</v>
      </c>
      <c r="L6" s="6" t="str">
        <f>IF(AND(ISNUMBER('Budget by objective'!G9),ISNUMBER('Budget by objective'!C9)),0,"Unpriced")</f>
        <v>Unpriced</v>
      </c>
      <c r="M6" s="6" t="str">
        <f>IF(AND(ISNUMBER('Budget by objective'!G9),ISNUMBER('Budget by objective'!C9)),0,"Unpriced")</f>
        <v>Unpriced</v>
      </c>
      <c r="N6" s="6" t="str">
        <f>IF(AND(ISNUMBER('Budget by objective'!G9),ISNUMBER('Budget by objective'!C9)),0,"Unpriced")</f>
        <v>Unpriced</v>
      </c>
      <c r="O6" s="6" t="str">
        <f>IF(COUNT(C6:N6)=COLUMNS(C6:N6),SUM(C6:N6),"Unpriced")</f>
        <v>Unpriced</v>
      </c>
    </row>
    <row r="7" ht="46" customHeight="1" spans="1:15" x14ac:dyDescent="0.25">
      <c r="A7" s="3" t="s">
        <v>60</v>
      </c>
      <c r="B7" s="3" t="s">
        <v>11</v>
      </c>
      <c r="C7" s="6" t="str">
        <f>IF(AND(ISNUMBER('Budget by objective'!G11),ISNUMBER(1)),0,"Unpriced")</f>
        <v>Unpriced</v>
      </c>
      <c r="D7" s="6" t="str">
        <f>IF(AND(ISNUMBER('Budget by objective'!G11),ISNUMBER(1)),0,"Unpriced")</f>
        <v>Unpriced</v>
      </c>
      <c r="E7" s="6" t="str">
        <f>IF(AND(ISNUMBER('Budget by objective'!G11),ISNUMBER(1)),0,"Unpriced")</f>
        <v>Unpriced</v>
      </c>
      <c r="F7" s="6" t="str">
        <f>IF(AND(ISNUMBER('Budget by objective'!G11),ISNUMBER(1)),0,"Unpriced")</f>
        <v>Unpriced</v>
      </c>
      <c r="G7" s="6" t="str">
        <f>IF(AND(ISNUMBER('Budget by objective'!G11),ISNUMBER(1)),0,"Unpriced")</f>
        <v>Unpriced</v>
      </c>
      <c r="H7" s="6" t="str">
        <f>IF(AND(ISNUMBER('Budget by objective'!G11),ISNUMBER(1)),0,"Unpriced")</f>
        <v>Unpriced</v>
      </c>
      <c r="I7" s="6" t="str">
        <f>IF(AND(ISNUMBER('Budget by objective'!G11),ISNUMBER(1)),0,"Unpriced")</f>
        <v>Unpriced</v>
      </c>
      <c r="J7" s="6" t="str">
        <f>IF(AND(ISNUMBER('Budget by objective'!G11),ISNUMBER(1)),ROUND('Budget by objective'!G11*1,2),"Unpriced")</f>
        <v>Unpriced</v>
      </c>
      <c r="K7" s="6" t="str">
        <f>IF(AND(ISNUMBER('Budget by objective'!G11),ISNUMBER(1)),0,"Unpriced")</f>
        <v>Unpriced</v>
      </c>
      <c r="L7" s="6" t="str">
        <f>IF(AND(ISNUMBER('Budget by objective'!G11),ISNUMBER(1)),0,"Unpriced")</f>
        <v>Unpriced</v>
      </c>
      <c r="M7" s="6" t="str">
        <f>IF(AND(ISNUMBER('Budget by objective'!G11),ISNUMBER(1)),0,"Unpriced")</f>
        <v>Unpriced</v>
      </c>
      <c r="N7" s="6" t="str">
        <f>IF(AND(ISNUMBER('Budget by objective'!G11),ISNUMBER(1)),0,"Unpriced")</f>
        <v>Unpriced</v>
      </c>
      <c r="O7" s="6" t="str">
        <f>IF(COUNT(C7:N7)=COLUMNS(C7:N7),SUM(C7:N7),"Unpriced")</f>
        <v>Unpriced</v>
      </c>
    </row>
    <row r="8" ht="46" customHeight="1" spans="1:15" s="9" customFormat="1" x14ac:dyDescent="0.25">
      <c r="A8" s="10" t="s">
        <v>78</v>
      </c>
      <c r="B8" s="10" t="s">
        <v>11</v>
      </c>
      <c r="C8" s="11">
        <f>SUM(C5,C6,C7)</f>
        <v>0</v>
      </c>
      <c r="D8" s="11">
        <f>SUM(D5,D6,D7)</f>
        <v>0</v>
      </c>
      <c r="E8" s="11">
        <f>SUM(E5,E6,E7)</f>
        <v>14000</v>
      </c>
      <c r="F8" s="11">
        <f>SUM(F5,F6,F7)</f>
        <v>0</v>
      </c>
      <c r="G8" s="11">
        <f>SUM(G5,G6,G7)</f>
        <v>0</v>
      </c>
      <c r="H8" s="11">
        <f>SUM(H5,H6,H7)</f>
        <v>0</v>
      </c>
      <c r="I8" s="11">
        <f>SUM(I5,I6,I7)</f>
        <v>0</v>
      </c>
      <c r="J8" s="11">
        <f>SUM(J5,J6,J7)</f>
        <v>0</v>
      </c>
      <c r="K8" s="11">
        <f>SUM(K5,K6,K7)</f>
        <v>0</v>
      </c>
      <c r="L8" s="11">
        <f>SUM(L5,L6,L7)</f>
        <v>0</v>
      </c>
      <c r="M8" s="11">
        <f>SUM(M5,M6,M7)</f>
        <v>0</v>
      </c>
      <c r="N8" s="11">
        <f>SUM(N5,N6,N7)</f>
        <v>0</v>
      </c>
      <c r="O8" s="11">
        <f>SUM(O5,O6,O7)</f>
        <v>14000</v>
      </c>
    </row>
    <row r="10" ht="40" customHeight="1" spans="1:15" s="12" customFormat="1" x14ac:dyDescent="0.25">
      <c r="A10" s="13" t="s">
        <v>32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</sheetData>
  <mergeCells count="3">
    <mergeCell ref="A1:O1"/>
    <mergeCell ref="A2:O2"/>
    <mergeCell ref="A10:O10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&amp;L&amp;6Prepared with Budget Buddy, an AI advisor run by Kenac Computer Systems. Prices are sourced as shown; unpriced items are excluded from totals.&amp;R&amp;8Page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 showGridLines="0">
      <pane ySplit="4" topLeftCell="A5" activePane="bottomLeft" state="frozen"/>
      <selection pane="bottomLeft"/>
    </sheetView>
  </sheetViews>
  <sheetFormatPr defaultRowHeight="25" outlineLevelRow="2" outlineLevelCol="0" x14ac:dyDescent="55" customHeight="1"/>
  <cols>
    <col min="1" max="1" width="40" customWidth="1"/>
    <col min="2" max="2" width="24" customWidth="1"/>
    <col min="3" max="3" width="60" customWidth="1"/>
    <col min="4" max="5" width="25" customWidth="1"/>
    <col min="6" max="6" width="24" customWidth="1"/>
    <col min="7" max="7" width="25" customWidth="1"/>
    <col min="8" max="8" width="18" customWidth="1"/>
    <col min="9" max="9" width="12" customWidth="1"/>
  </cols>
  <sheetData>
    <row r="1" ht="38" customHeight="1" spans="1:9" s="1" customFormat="1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</row>
    <row r="2" ht="38" customHeight="1" spans="1:9" x14ac:dyDescent="0.25">
      <c r="A2" s="3" t="s">
        <v>80</v>
      </c>
      <c r="B2" s="3"/>
      <c r="C2" s="3"/>
      <c r="D2" s="3"/>
      <c r="E2" s="3"/>
      <c r="F2" s="3"/>
      <c r="G2" s="3"/>
      <c r="H2" s="3"/>
      <c r="I2" s="3"/>
    </row>
    <row r="4" spans="1:9" s="4" customFormat="1" x14ac:dyDescent="0.25">
      <c r="A4" s="5" t="s">
        <v>35</v>
      </c>
      <c r="B4" s="5" t="s">
        <v>43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44</v>
      </c>
      <c r="H4" s="5" t="s">
        <v>41</v>
      </c>
      <c r="I4" s="5" t="s">
        <v>42</v>
      </c>
    </row>
    <row r="5" ht="46" customHeight="1" spans="1:9" x14ac:dyDescent="0.25">
      <c r="A5" s="3" t="s">
        <v>48</v>
      </c>
      <c r="B5" s="3" t="s">
        <v>53</v>
      </c>
      <c r="C5" s="3" t="s">
        <v>53</v>
      </c>
      <c r="D5" s="3" t="s">
        <v>85</v>
      </c>
      <c r="E5" s="3" t="s">
        <v>86</v>
      </c>
      <c r="F5" s="3" t="s">
        <v>87</v>
      </c>
      <c r="G5" s="3" t="s">
        <v>54</v>
      </c>
      <c r="H5" s="6">
        <v>3500</v>
      </c>
      <c r="I5" s="3" t="s">
        <v>11</v>
      </c>
    </row>
    <row r="7" ht="40" customHeight="1" spans="1:9" s="12" customFormat="1" x14ac:dyDescent="0.25">
      <c r="A7" s="13" t="s">
        <v>32</v>
      </c>
      <c r="B7" s="13"/>
      <c r="C7" s="13"/>
      <c r="D7" s="13"/>
      <c r="E7" s="13"/>
      <c r="F7" s="13"/>
      <c r="G7" s="13"/>
      <c r="H7" s="13"/>
      <c r="I7" s="13"/>
    </row>
  </sheetData>
  <mergeCells count="3">
    <mergeCell ref="A1:I1"/>
    <mergeCell ref="A2:I2"/>
    <mergeCell ref="A7:I7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&amp;L&amp;6Prepared with Budget Buddy, an AI advisor run by Kenac Computer Systems. Prices are sourced as shown; unpriced items are excluded from totals.&amp;R&amp;8Page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showGridLines="0">
      <pane ySplit="4" topLeftCell="A5" activePane="bottomLeft" state="frozen"/>
      <selection pane="bottomLeft"/>
    </sheetView>
  </sheetViews>
  <sheetFormatPr defaultRowHeight="25" outlineLevelRow="2" outlineLevelCol="0" x14ac:dyDescent="55" customHeight="1"/>
  <cols>
    <col min="1" max="1" width="26" customWidth="1"/>
    <col min="2" max="2" width="44" customWidth="1"/>
    <col min="3" max="3" width="105" customWidth="1"/>
  </cols>
  <sheetData>
    <row r="1" ht="38" customHeight="1" spans="1:3" s="1" customFormat="1" x14ac:dyDescent="0.25">
      <c r="A1" s="2" t="s">
        <v>88</v>
      </c>
      <c r="B1" s="2"/>
      <c r="C1" s="2"/>
    </row>
    <row r="2" ht="38" customHeight="1" spans="1:3" x14ac:dyDescent="0.25">
      <c r="A2" s="3" t="s">
        <v>89</v>
      </c>
      <c r="B2" s="3"/>
      <c r="C2" s="3"/>
    </row>
    <row r="4" spans="1:3" s="4" customFormat="1" x14ac:dyDescent="0.25">
      <c r="A4" s="5" t="s">
        <v>90</v>
      </c>
      <c r="B4" s="5" t="s">
        <v>35</v>
      </c>
      <c r="C4" s="5" t="s">
        <v>91</v>
      </c>
    </row>
    <row r="5" ht="62" customHeight="1" spans="1:3" x14ac:dyDescent="0.25">
      <c r="A5" s="3" t="s">
        <v>58</v>
      </c>
      <c r="B5" s="3" t="s">
        <v>56</v>
      </c>
      <c r="C5" s="3" t="s">
        <v>92</v>
      </c>
    </row>
    <row r="6" ht="62" customHeight="1" spans="1:3" x14ac:dyDescent="0.25">
      <c r="A6" s="3" t="s">
        <v>58</v>
      </c>
      <c r="B6" s="3" t="s">
        <v>60</v>
      </c>
      <c r="C6" s="3" t="s">
        <v>92</v>
      </c>
    </row>
    <row r="8" ht="40" customHeight="1" spans="1:3" s="12" customFormat="1" x14ac:dyDescent="0.25">
      <c r="A8" s="13" t="s">
        <v>32</v>
      </c>
      <c r="B8" s="13"/>
      <c r="C8" s="13"/>
    </row>
  </sheetData>
  <mergeCells count="3">
    <mergeCell ref="A1:C1"/>
    <mergeCell ref="A2:C2"/>
    <mergeCell ref="A8:C8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&amp;L&amp;6Prepared with Budget Buddy, an AI advisor run by Kenac Computer Systems. Prices are sourced as shown; unpriced items are excluded from totals.&amp;R&amp;8Page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Budget by objective</vt:lpstr>
      <vt:lpstr>Monthly cash profile</vt:lpstr>
      <vt:lpstr>Evidence register</vt:lpstr>
      <vt:lpstr>Open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Buddy by Kenac Computer Systems</dc:creator>
  <dc:title/>
  <dc:subject/>
  <dc:description/>
  <cp:keywords/>
  <cp:category/>
  <cp:lastModifiedBy>Unknown</cp:lastModifiedBy>
  <dcterms:created xsi:type="dcterms:W3CDTF">2026-10-14T03:34:43Z</dcterms:created>
  <dcterms:modified xsi:type="dcterms:W3CDTF">2026-10-14T03:34:43Z</dcterms:modified>
</cp:coreProperties>
</file>